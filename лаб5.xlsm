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Admin\Desktop\лаб5\"/>
    </mc:Choice>
  </mc:AlternateContent>
  <xr:revisionPtr revIDLastSave="0" documentId="13_ncr:1_{F5DF1A9E-A9E5-48B6-8DD4-01A848339D4E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Лист3" sheetId="3" r:id="rId1"/>
    <sheet name="Лист2" sheetId="2" r:id="rId2"/>
    <sheet name="Лист1" sheetId="1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55" i="1" l="1"/>
  <c r="AD53" i="1"/>
  <c r="AD52" i="1"/>
  <c r="AD50" i="1"/>
  <c r="AD48" i="1"/>
  <c r="AD47" i="1"/>
  <c r="AD45" i="1"/>
  <c r="AD43" i="1"/>
  <c r="AD42" i="1"/>
  <c r="AD40" i="1"/>
  <c r="AD38" i="1"/>
  <c r="AD37" i="1"/>
  <c r="AD35" i="1"/>
  <c r="AD33" i="1"/>
  <c r="AD32" i="1"/>
  <c r="AD30" i="1"/>
  <c r="AD28" i="1"/>
  <c r="AD27" i="1"/>
  <c r="AD25" i="1"/>
  <c r="AD23" i="1"/>
  <c r="AD22" i="1"/>
  <c r="AB4" i="1"/>
  <c r="AC4" i="1"/>
  <c r="H55" i="1" a="1"/>
  <c r="H50" i="1" a="1"/>
  <c r="H45" i="1" a="1"/>
  <c r="H40" i="1" a="1"/>
  <c r="H35" i="1" a="1"/>
  <c r="H30" i="1" a="1"/>
  <c r="H25" i="1" a="1"/>
  <c r="H26" i="1" a="1"/>
  <c r="H23" i="1" a="1"/>
  <c r="H22" i="1" a="1"/>
  <c r="H55" i="1" l="1"/>
  <c r="H50" i="1"/>
  <c r="H45" i="1"/>
  <c r="H40" i="1"/>
  <c r="H35" i="1"/>
  <c r="H30" i="1"/>
  <c r="H25" i="1"/>
  <c r="H26" i="1"/>
  <c r="H23" i="1"/>
  <c r="H22" i="1"/>
  <c r="C11" i="1" l="1"/>
  <c r="C10" i="1"/>
  <c r="C8" i="1"/>
  <c r="C14" i="1" s="1"/>
  <c r="C7" i="1"/>
  <c r="C13" i="1" s="1"/>
  <c r="C6" i="1"/>
  <c r="C12" i="1" s="1"/>
  <c r="B5" i="1"/>
  <c r="B4" i="1"/>
  <c r="C5" i="1"/>
  <c r="C4" i="1"/>
  <c r="H27" i="1" a="1"/>
  <c r="H32" i="1" a="1"/>
  <c r="H47" i="1" a="1"/>
  <c r="H42" i="1" a="1"/>
  <c r="H48" i="1" a="1"/>
  <c r="H51" i="1" a="1"/>
  <c r="H38" i="1" a="1"/>
  <c r="H41" i="1" a="1"/>
  <c r="H33" i="1" a="1"/>
  <c r="H36" i="1" a="1"/>
  <c r="H37" i="1" a="1"/>
  <c r="H28" i="1" a="1"/>
  <c r="H31" i="1" a="1"/>
  <c r="H53" i="1" a="1"/>
  <c r="H56" i="1" a="1"/>
  <c r="H52" i="1" a="1"/>
  <c r="H43" i="1" a="1"/>
  <c r="H46" i="1" a="1"/>
  <c r="H8" i="1" a="1"/>
  <c r="H11" i="1" a="1"/>
  <c r="H12" i="1" a="1"/>
  <c r="H10" i="1" a="1"/>
  <c r="H14" i="1" a="1"/>
  <c r="H46" i="1" l="1"/>
  <c r="H43" i="1"/>
  <c r="H52" i="1"/>
  <c r="H56" i="1"/>
  <c r="H53" i="1"/>
  <c r="H31" i="1"/>
  <c r="H28" i="1"/>
  <c r="H37" i="1"/>
  <c r="H36" i="1"/>
  <c r="H33" i="1"/>
  <c r="H41" i="1"/>
  <c r="H38" i="1"/>
  <c r="H51" i="1"/>
  <c r="H48" i="1"/>
  <c r="H42" i="1"/>
  <c r="H47" i="1"/>
  <c r="H32" i="1"/>
  <c r="H27" i="1"/>
  <c r="C9" i="1"/>
  <c r="H8" i="1"/>
  <c r="H10" i="1"/>
  <c r="H14" i="1"/>
  <c r="H12" i="1"/>
  <c r="H11" i="1"/>
  <c r="H9" i="1" a="1"/>
  <c r="H9" i="1" l="1"/>
  <c r="C15" i="1"/>
  <c r="H15" i="1" a="1"/>
  <c r="H15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<sst xmlns="http://schemas.openxmlformats.org/spreadsheetml/2006/main" count="215" uniqueCount="61">
  <si>
    <t>А=</t>
  </si>
  <si>
    <t>С=</t>
  </si>
  <si>
    <t>X1 =</t>
  </si>
  <si>
    <t>X2 =</t>
  </si>
  <si>
    <t>X3 =</t>
  </si>
  <si>
    <t>X4 =</t>
  </si>
  <si>
    <t>X5 =</t>
  </si>
  <si>
    <t>X6 =</t>
  </si>
  <si>
    <t>X7 =</t>
  </si>
  <si>
    <t>X8 =</t>
  </si>
  <si>
    <t>X9 =</t>
  </si>
  <si>
    <t>X10 =</t>
  </si>
  <si>
    <t>X11 =</t>
  </si>
  <si>
    <t>X12 =</t>
  </si>
  <si>
    <t>A + C  =</t>
  </si>
  <si>
    <t>A + C + C  =</t>
  </si>
  <si>
    <t>C - A =</t>
  </si>
  <si>
    <t>65536 - X4 =</t>
  </si>
  <si>
    <t xml:space="preserve"> -X1=</t>
  </si>
  <si>
    <t xml:space="preserve"> -X2=</t>
  </si>
  <si>
    <t xml:space="preserve"> -X3=</t>
  </si>
  <si>
    <t xml:space="preserve"> -X4=</t>
  </si>
  <si>
    <t xml:space="preserve"> -X5=</t>
  </si>
  <si>
    <t xml:space="preserve"> -X6=</t>
  </si>
  <si>
    <t>B1=</t>
  </si>
  <si>
    <t>B2=</t>
  </si>
  <si>
    <t>B3=</t>
  </si>
  <si>
    <t>B4=</t>
  </si>
  <si>
    <t>B5=</t>
  </si>
  <si>
    <t>B6=</t>
  </si>
  <si>
    <t>B7=</t>
  </si>
  <si>
    <t>B8=</t>
  </si>
  <si>
    <t>B9=</t>
  </si>
  <si>
    <t>B10=</t>
  </si>
  <si>
    <t>B11=</t>
  </si>
  <si>
    <t>B12=</t>
  </si>
  <si>
    <t>B1+B2</t>
  </si>
  <si>
    <t>------------</t>
  </si>
  <si>
    <t>ОДЗ:</t>
  </si>
  <si>
    <r>
      <t>[-2</t>
    </r>
    <r>
      <rPr>
        <b/>
        <vertAlign val="superscript"/>
        <sz val="11"/>
        <color theme="1"/>
        <rFont val="Calibri"/>
        <family val="2"/>
        <charset val="204"/>
        <scheme val="minor"/>
      </rPr>
      <t>15</t>
    </r>
    <r>
      <rPr>
        <b/>
        <sz val="11"/>
        <color theme="1"/>
        <rFont val="Calibri"/>
        <family val="2"/>
        <charset val="204"/>
        <scheme val="minor"/>
      </rPr>
      <t>;2</t>
    </r>
    <r>
      <rPr>
        <b/>
        <vertAlign val="superscript"/>
        <sz val="11"/>
        <color theme="1"/>
        <rFont val="Calibri"/>
        <family val="2"/>
        <charset val="204"/>
        <scheme val="minor"/>
      </rPr>
      <t>15</t>
    </r>
    <r>
      <rPr>
        <b/>
        <sz val="11"/>
        <color theme="1"/>
        <rFont val="Calibri"/>
        <family val="2"/>
        <charset val="204"/>
        <scheme val="minor"/>
      </rPr>
      <t>-1]</t>
    </r>
  </si>
  <si>
    <t>B2+B3</t>
  </si>
  <si>
    <t>B2+B7</t>
  </si>
  <si>
    <t>B8+b9</t>
  </si>
  <si>
    <t>B1+B8</t>
  </si>
  <si>
    <t>B11+B3</t>
  </si>
  <si>
    <t>B7+B8</t>
  </si>
  <si>
    <t>X1+X2</t>
  </si>
  <si>
    <t>X2+X3</t>
  </si>
  <si>
    <t>X2+X7</t>
  </si>
  <si>
    <t>X7+X8</t>
  </si>
  <si>
    <t>X8+X9</t>
  </si>
  <si>
    <t>X1+X8</t>
  </si>
  <si>
    <t>X11+X3</t>
  </si>
  <si>
    <t>-------------</t>
  </si>
  <si>
    <t>Результат корректен,при сложении двух положительных чисел, получилось положительное число</t>
  </si>
  <si>
    <t>Результат не корректен, при сложении двух чисел получилось отрицательное число, это вышло в результате переполнения</t>
  </si>
  <si>
    <t>Результат корректен, при сложении положительного и отрицательного числа получилось положительное число, так как положительное больше отрицательного</t>
  </si>
  <si>
    <t>Результат корректен, при сложении двух отрицательных чисел, получилось отрицательное число</t>
  </si>
  <si>
    <t>Результат некорректен, при сложении двух отрицательных чисел получилось положительное число, из-за переполнения</t>
  </si>
  <si>
    <t>(Не влезает в область допустимых значений)</t>
  </si>
  <si>
    <t>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</si>
</sst>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vertAlign val="superscript"/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Alignment="1">
      <alignment horizontal="right"/>
    </xf>
    <xf numFmtId="1" fontId="0" fillId="0" borderId="0" xfId="0" applyNumberFormat="1"/>
    <xf numFmtId="0" fontId="1" fillId="0" borderId="0" xfId="0" applyFont="1"/>
    <xf numFmtId="2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quotePrefix="1"/>
    <xf numFmtId="0" fontId="0" fillId="0" borderId="5" xfId="0" quotePrefix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2" borderId="7" xfId="0" applyFill="1" applyBorder="1"/>
    <xf numFmtId="0" fontId="0" fillId="0" borderId="1" xfId="0" quotePrefix="1" applyBorder="1"/>
    <xf numFmtId="1" fontId="0" fillId="0" borderId="5" xfId="0" applyNumberFormat="1" applyBorder="1"/>
    <xf numFmtId="0" fontId="0" fillId="0" borderId="4" xfId="0" quotePrefix="1" applyBorder="1"/>
    <xf numFmtId="1" fontId="0" fillId="0" borderId="3" xfId="0" applyNumberFormat="1" applyBorder="1"/>
    <xf numFmtId="1" fontId="0" fillId="0" borderId="8" xfId="0" applyNumberFormat="1" applyBorder="1"/>
    <xf numFmtId="0" fontId="0" fillId="0" borderId="8" xfId="0" quotePrefix="1" applyBorder="1"/>
    <xf numFmtId="0" fontId="0" fillId="0" borderId="0" xfId="0" applyAlignment="1">
      <alignment horizontal="left"/>
    </xf>
    <xf numFmtId="0" fontId="0" fillId="0" borderId="1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5" xfId="0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8" xfId="0" applyBorder="1" applyAlignment="1">
      <alignment horizontal="center" wrapText="1"/>
    </xf>
  </cellXfs>
  <cellStyles count="1">
    <cellStyle name="Обычный" xfId="0" builtinId="0"/>
  </cellStyles>
  <dxfs count="2">
    <dxf>
      <font>
        <b/>
        <i val="0"/>
      </font>
      <fill>
        <patternFill patternType="none">
          <bgColor auto="1"/>
        </patternFill>
      </fill>
    </dxf>
    <dxf>
      <fill>
        <patternFill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AAF66-1A81-430C-837A-A24B33E5FF23}">
  <sheetPr codeName="Лист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C64CE-47D1-42FD-A464-5D5B7FD8FDFD}">
  <sheetPr codeName="Лист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AG56"/>
  <sheetViews>
    <sheetView tabSelected="1" view="pageLayout" zoomScaleNormal="89" workbookViewId="0">
      <selection activeCell="N5" sqref="N5"/>
    </sheetView>
  </sheetViews>
  <sheetFormatPr defaultRowHeight="15" x14ac:dyDescent="0.25"/>
  <cols>
    <col min="2" max="2" width="11.7109375" customWidth="1"/>
    <col min="4" max="4" width="3.140625" customWidth="1"/>
    <col min="6" max="6" width="10.28515625" bestFit="1" customWidth="1"/>
    <col min="8" max="8" width="7.140625" customWidth="1"/>
    <col min="9" max="9" width="6.42578125" customWidth="1"/>
    <col min="11" max="11" width="10.28515625" bestFit="1" customWidth="1"/>
    <col min="28" max="28" width="12" customWidth="1"/>
    <col min="29" max="29" width="10.85546875" bestFit="1" customWidth="1"/>
  </cols>
  <sheetData>
    <row r="1" spans="1:29" x14ac:dyDescent="0.25">
      <c r="B1" t="s">
        <v>0</v>
      </c>
      <c r="C1">
        <v>10299</v>
      </c>
    </row>
    <row r="2" spans="1:29" x14ac:dyDescent="0.25">
      <c r="B2" t="s">
        <v>1</v>
      </c>
      <c r="C2">
        <v>21882</v>
      </c>
    </row>
    <row r="3" spans="1:29" ht="17.25" x14ac:dyDescent="0.25">
      <c r="AA3" s="3" t="s">
        <v>38</v>
      </c>
      <c r="AB3" s="3" t="s">
        <v>39</v>
      </c>
      <c r="AC3" s="4"/>
    </row>
    <row r="4" spans="1:29" x14ac:dyDescent="0.25">
      <c r="A4" t="s">
        <v>2</v>
      </c>
      <c r="B4" s="1" t="str">
        <f>B1</f>
        <v>А=</v>
      </c>
      <c r="C4" s="2">
        <f>C1</f>
        <v>10299</v>
      </c>
      <c r="F4" t="s">
        <v>24</v>
      </c>
      <c r="H4" s="22">
        <v>0</v>
      </c>
      <c r="I4" s="22">
        <v>0</v>
      </c>
      <c r="J4" s="22">
        <v>1</v>
      </c>
      <c r="K4" s="22">
        <v>0</v>
      </c>
      <c r="L4" s="22" t="s">
        <v>60</v>
      </c>
      <c r="M4" s="22">
        <v>1</v>
      </c>
      <c r="N4" s="22">
        <v>0</v>
      </c>
      <c r="O4" s="22">
        <v>0</v>
      </c>
      <c r="P4" s="22">
        <v>0</v>
      </c>
      <c r="Q4" s="22" t="s">
        <v>60</v>
      </c>
      <c r="R4" s="22">
        <v>0</v>
      </c>
      <c r="S4" s="22">
        <v>0</v>
      </c>
      <c r="T4" s="22">
        <v>1</v>
      </c>
      <c r="U4" s="22">
        <v>1</v>
      </c>
      <c r="V4" s="22" t="s">
        <v>60</v>
      </c>
      <c r="W4" s="22">
        <v>1</v>
      </c>
      <c r="X4" s="22">
        <v>0</v>
      </c>
      <c r="Y4" s="22">
        <v>1</v>
      </c>
      <c r="Z4" s="22">
        <v>1</v>
      </c>
      <c r="AB4">
        <f>POWER(2,15) * (-1)</f>
        <v>-32768</v>
      </c>
      <c r="AC4">
        <f>POWER(2,15)-1</f>
        <v>32767</v>
      </c>
    </row>
    <row r="5" spans="1:29" x14ac:dyDescent="0.25">
      <c r="A5" t="s">
        <v>3</v>
      </c>
      <c r="B5" s="1" t="str">
        <f>B2</f>
        <v>С=</v>
      </c>
      <c r="C5">
        <f>C2</f>
        <v>21882</v>
      </c>
      <c r="F5" t="s">
        <v>25</v>
      </c>
      <c r="H5" s="22">
        <v>0</v>
      </c>
      <c r="I5" s="22">
        <v>1</v>
      </c>
      <c r="J5" s="22">
        <v>0</v>
      </c>
      <c r="K5" s="22">
        <v>1</v>
      </c>
      <c r="L5" s="22" t="s">
        <v>60</v>
      </c>
      <c r="M5" s="22">
        <v>0</v>
      </c>
      <c r="N5" s="22">
        <v>1</v>
      </c>
      <c r="O5" s="22">
        <v>0</v>
      </c>
      <c r="P5" s="22">
        <v>1</v>
      </c>
      <c r="Q5" s="22" t="s">
        <v>60</v>
      </c>
      <c r="R5" s="22">
        <v>0</v>
      </c>
      <c r="S5" s="22">
        <v>1</v>
      </c>
      <c r="T5" s="22">
        <v>1</v>
      </c>
      <c r="U5" s="22">
        <v>1</v>
      </c>
      <c r="V5" s="22" t="s">
        <v>60</v>
      </c>
      <c r="W5" s="22">
        <v>1</v>
      </c>
      <c r="X5" s="22">
        <v>0</v>
      </c>
      <c r="Y5" s="22">
        <v>1</v>
      </c>
      <c r="Z5" s="22">
        <v>0</v>
      </c>
    </row>
    <row r="6" spans="1:29" x14ac:dyDescent="0.25">
      <c r="A6" t="s">
        <v>4</v>
      </c>
      <c r="B6" s="1" t="s">
        <v>14</v>
      </c>
      <c r="C6">
        <f>C1+C2</f>
        <v>32181</v>
      </c>
      <c r="F6" t="s">
        <v>26</v>
      </c>
      <c r="H6" s="22">
        <v>0</v>
      </c>
      <c r="I6" s="22">
        <v>1</v>
      </c>
      <c r="J6" s="22">
        <v>1</v>
      </c>
      <c r="K6" s="22">
        <v>1</v>
      </c>
      <c r="L6" s="22" t="s">
        <v>60</v>
      </c>
      <c r="M6" s="22">
        <v>1</v>
      </c>
      <c r="N6" s="22">
        <v>1</v>
      </c>
      <c r="O6" s="22">
        <v>0</v>
      </c>
      <c r="P6" s="22">
        <v>1</v>
      </c>
      <c r="Q6" s="22" t="s">
        <v>60</v>
      </c>
      <c r="R6" s="22">
        <v>1</v>
      </c>
      <c r="S6" s="22">
        <v>0</v>
      </c>
      <c r="T6" s="22">
        <v>1</v>
      </c>
      <c r="U6" s="22">
        <v>1</v>
      </c>
      <c r="V6" s="22" t="s">
        <v>60</v>
      </c>
      <c r="W6" s="22">
        <v>0</v>
      </c>
      <c r="X6" s="22">
        <v>1</v>
      </c>
      <c r="Y6" s="22">
        <v>0</v>
      </c>
      <c r="Z6" s="22">
        <v>1</v>
      </c>
    </row>
    <row r="7" spans="1:29" x14ac:dyDescent="0.25">
      <c r="A7" t="s">
        <v>5</v>
      </c>
      <c r="B7" s="1" t="s">
        <v>15</v>
      </c>
      <c r="C7">
        <f>C1+C2+C2</f>
        <v>54063</v>
      </c>
      <c r="F7" t="s">
        <v>27</v>
      </c>
      <c r="H7" s="22">
        <v>1</v>
      </c>
      <c r="I7" s="22">
        <v>1</v>
      </c>
      <c r="J7" s="22">
        <v>0</v>
      </c>
      <c r="K7" s="22">
        <v>1</v>
      </c>
      <c r="L7" s="22" t="s">
        <v>60</v>
      </c>
      <c r="M7" s="22">
        <v>0</v>
      </c>
      <c r="N7" s="22">
        <v>0</v>
      </c>
      <c r="O7" s="22">
        <v>1</v>
      </c>
      <c r="P7" s="22">
        <v>1</v>
      </c>
      <c r="Q7" s="22" t="s">
        <v>60</v>
      </c>
      <c r="R7" s="22">
        <v>0</v>
      </c>
      <c r="S7" s="22">
        <v>0</v>
      </c>
      <c r="T7" s="22">
        <v>1</v>
      </c>
      <c r="U7" s="22">
        <v>0</v>
      </c>
      <c r="V7" s="22" t="s">
        <v>60</v>
      </c>
      <c r="W7" s="22">
        <v>1</v>
      </c>
      <c r="X7" s="22">
        <v>1</v>
      </c>
      <c r="Y7" s="22">
        <v>1</v>
      </c>
      <c r="Z7" s="22">
        <v>1</v>
      </c>
      <c r="AA7" t="s">
        <v>59</v>
      </c>
    </row>
    <row r="8" spans="1:29" x14ac:dyDescent="0.25">
      <c r="A8" t="s">
        <v>6</v>
      </c>
      <c r="B8" s="1" t="s">
        <v>16</v>
      </c>
      <c r="C8">
        <f>C2 - C1</f>
        <v>11583</v>
      </c>
      <c r="F8" t="s">
        <v>28</v>
      </c>
      <c r="H8" t="str" cm="1">
        <f t="array" ref="H8:Z8">SplitBinary(C8)</f>
        <v>0</v>
      </c>
      <c r="I8" t="str">
        <v>0</v>
      </c>
      <c r="J8" t="str">
        <v>1</v>
      </c>
      <c r="K8" t="str">
        <v>0</v>
      </c>
      <c r="L8" t="str">
        <v>.</v>
      </c>
      <c r="M8" t="str">
        <v>1</v>
      </c>
      <c r="N8" t="str">
        <v>1</v>
      </c>
      <c r="O8" t="str">
        <v>0</v>
      </c>
      <c r="P8" t="str">
        <v>1</v>
      </c>
      <c r="Q8" t="str">
        <v>.</v>
      </c>
      <c r="R8" t="str">
        <v>0</v>
      </c>
      <c r="S8" t="str">
        <v>0</v>
      </c>
      <c r="T8" t="str">
        <v>1</v>
      </c>
      <c r="U8" t="str">
        <v>1</v>
      </c>
      <c r="V8" t="str">
        <v>.</v>
      </c>
      <c r="W8" t="str">
        <v>1</v>
      </c>
      <c r="X8" t="str">
        <v>1</v>
      </c>
      <c r="Y8" t="str">
        <v>1</v>
      </c>
      <c r="Z8" t="str">
        <v>1</v>
      </c>
    </row>
    <row r="9" spans="1:29" x14ac:dyDescent="0.25">
      <c r="A9" t="s">
        <v>7</v>
      </c>
      <c r="B9" s="1" t="s">
        <v>17</v>
      </c>
      <c r="C9">
        <f>65536 - C7</f>
        <v>11473</v>
      </c>
      <c r="F9" t="s">
        <v>29</v>
      </c>
      <c r="H9" t="str" cm="1">
        <f t="array" ref="H9:Z9">SplitBinary(C9)</f>
        <v>0</v>
      </c>
      <c r="I9" t="str">
        <v>0</v>
      </c>
      <c r="J9" t="str">
        <v>1</v>
      </c>
      <c r="K9" t="str">
        <v>0</v>
      </c>
      <c r="L9" t="str">
        <v>.</v>
      </c>
      <c r="M9" t="str">
        <v>1</v>
      </c>
      <c r="N9" t="str">
        <v>1</v>
      </c>
      <c r="O9" t="str">
        <v>0</v>
      </c>
      <c r="P9" t="str">
        <v>0</v>
      </c>
      <c r="Q9" t="str">
        <v>.</v>
      </c>
      <c r="R9" t="str">
        <v>1</v>
      </c>
      <c r="S9" t="str">
        <v>1</v>
      </c>
      <c r="T9" t="str">
        <v>0</v>
      </c>
      <c r="U9" t="str">
        <v>1</v>
      </c>
      <c r="V9" t="str">
        <v>.</v>
      </c>
      <c r="W9" t="str">
        <v>0</v>
      </c>
      <c r="X9" t="str">
        <v>0</v>
      </c>
      <c r="Y9" t="str">
        <v>0</v>
      </c>
      <c r="Z9" t="str">
        <v>1</v>
      </c>
    </row>
    <row r="10" spans="1:29" x14ac:dyDescent="0.25">
      <c r="A10" t="s">
        <v>8</v>
      </c>
      <c r="B10" s="1" t="s">
        <v>18</v>
      </c>
      <c r="C10">
        <f t="shared" ref="C10:C15" si="0">-C4</f>
        <v>-10299</v>
      </c>
      <c r="F10" t="s">
        <v>30</v>
      </c>
      <c r="H10" t="str" cm="1">
        <f t="array" ref="H10:Z10">SplitBinary(C10)</f>
        <v>1</v>
      </c>
      <c r="I10" t="str">
        <v>1</v>
      </c>
      <c r="J10" t="str">
        <v>0</v>
      </c>
      <c r="K10" t="str">
        <v>1</v>
      </c>
      <c r="L10" t="str">
        <v>.</v>
      </c>
      <c r="M10" t="str">
        <v>0</v>
      </c>
      <c r="N10" t="str">
        <v>1</v>
      </c>
      <c r="O10" t="str">
        <v>1</v>
      </c>
      <c r="P10" t="str">
        <v>1</v>
      </c>
      <c r="Q10" t="str">
        <v>.</v>
      </c>
      <c r="R10" t="str">
        <v>1</v>
      </c>
      <c r="S10" t="str">
        <v>1</v>
      </c>
      <c r="T10" t="str">
        <v>0</v>
      </c>
      <c r="U10" t="str">
        <v>0</v>
      </c>
      <c r="V10" t="str">
        <v>.</v>
      </c>
      <c r="W10" t="str">
        <v>0</v>
      </c>
      <c r="X10" t="str">
        <v>1</v>
      </c>
      <c r="Y10" t="str">
        <v>0</v>
      </c>
      <c r="Z10" t="str">
        <v>1</v>
      </c>
    </row>
    <row r="11" spans="1:29" x14ac:dyDescent="0.25">
      <c r="A11" t="s">
        <v>9</v>
      </c>
      <c r="B11" s="1" t="s">
        <v>19</v>
      </c>
      <c r="C11">
        <f t="shared" si="0"/>
        <v>-21882</v>
      </c>
      <c r="F11" t="s">
        <v>31</v>
      </c>
      <c r="H11" t="str" cm="1">
        <f t="array" ref="H11:Z11">SplitBinary(C11)</f>
        <v>1</v>
      </c>
      <c r="I11" t="str">
        <v>0</v>
      </c>
      <c r="J11" t="str">
        <v>1</v>
      </c>
      <c r="K11" t="str">
        <v>0</v>
      </c>
      <c r="L11" t="str">
        <v>.</v>
      </c>
      <c r="M11" t="str">
        <v>1</v>
      </c>
      <c r="N11" t="str">
        <v>0</v>
      </c>
      <c r="O11" t="str">
        <v>1</v>
      </c>
      <c r="P11" t="str">
        <v>0</v>
      </c>
      <c r="Q11" t="str">
        <v>.</v>
      </c>
      <c r="R11" t="str">
        <v>1</v>
      </c>
      <c r="S11" t="str">
        <v>0</v>
      </c>
      <c r="T11" t="str">
        <v>0</v>
      </c>
      <c r="U11" t="str">
        <v>0</v>
      </c>
      <c r="V11" t="str">
        <v>.</v>
      </c>
      <c r="W11" t="str">
        <v>0</v>
      </c>
      <c r="X11" t="str">
        <v>1</v>
      </c>
      <c r="Y11" t="str">
        <v>1</v>
      </c>
      <c r="Z11" t="str">
        <v>0</v>
      </c>
    </row>
    <row r="12" spans="1:29" x14ac:dyDescent="0.25">
      <c r="A12" t="s">
        <v>10</v>
      </c>
      <c r="B12" s="1" t="s">
        <v>20</v>
      </c>
      <c r="C12">
        <f t="shared" si="0"/>
        <v>-32181</v>
      </c>
      <c r="F12" t="s">
        <v>32</v>
      </c>
      <c r="H12" t="str" cm="1">
        <f t="array" ref="H12:Z12">SplitBinary(C12)</f>
        <v>1</v>
      </c>
      <c r="I12" t="str">
        <v>0</v>
      </c>
      <c r="J12" t="str">
        <v>0</v>
      </c>
      <c r="K12" t="str">
        <v>0</v>
      </c>
      <c r="L12" t="str">
        <v>.</v>
      </c>
      <c r="M12" t="str">
        <v>0</v>
      </c>
      <c r="N12" t="str">
        <v>0</v>
      </c>
      <c r="O12" t="str">
        <v>1</v>
      </c>
      <c r="P12" t="str">
        <v>0</v>
      </c>
      <c r="Q12" t="str">
        <v>.</v>
      </c>
      <c r="R12" t="str">
        <v>0</v>
      </c>
      <c r="S12" t="str">
        <v>1</v>
      </c>
      <c r="T12" t="str">
        <v>0</v>
      </c>
      <c r="U12" t="str">
        <v>0</v>
      </c>
      <c r="V12" t="str">
        <v>.</v>
      </c>
      <c r="W12" t="str">
        <v>1</v>
      </c>
      <c r="X12" t="str">
        <v>0</v>
      </c>
      <c r="Y12" t="str">
        <v>1</v>
      </c>
      <c r="Z12" t="str">
        <v>1</v>
      </c>
    </row>
    <row r="13" spans="1:29" x14ac:dyDescent="0.25">
      <c r="A13" t="s">
        <v>11</v>
      </c>
      <c r="B13" s="1" t="s">
        <v>21</v>
      </c>
      <c r="C13">
        <f t="shared" si="0"/>
        <v>-54063</v>
      </c>
      <c r="F13" t="s">
        <v>33</v>
      </c>
      <c r="G13" s="22">
        <v>1</v>
      </c>
      <c r="H13" s="22">
        <v>0</v>
      </c>
      <c r="I13" s="22">
        <v>0</v>
      </c>
      <c r="J13" s="22">
        <v>1</v>
      </c>
      <c r="K13" s="22">
        <v>0</v>
      </c>
      <c r="L13" s="22" t="s">
        <v>60</v>
      </c>
      <c r="M13" s="22">
        <v>1</v>
      </c>
      <c r="N13" s="22">
        <v>1</v>
      </c>
      <c r="O13" s="22">
        <v>0</v>
      </c>
      <c r="P13" s="22">
        <v>0</v>
      </c>
      <c r="Q13" s="22" t="s">
        <v>60</v>
      </c>
      <c r="R13" s="22">
        <v>1</v>
      </c>
      <c r="S13" s="22">
        <v>1</v>
      </c>
      <c r="T13" s="22">
        <v>0</v>
      </c>
      <c r="U13" s="22">
        <v>1</v>
      </c>
      <c r="V13" s="22" t="s">
        <v>60</v>
      </c>
      <c r="W13" s="22">
        <v>0</v>
      </c>
      <c r="X13" s="22">
        <v>0</v>
      </c>
      <c r="Y13" s="22">
        <v>0</v>
      </c>
      <c r="Z13" s="22">
        <v>1</v>
      </c>
      <c r="AA13" t="s">
        <v>59</v>
      </c>
    </row>
    <row r="14" spans="1:29" x14ac:dyDescent="0.25">
      <c r="A14" t="s">
        <v>12</v>
      </c>
      <c r="B14" s="1" t="s">
        <v>22</v>
      </c>
      <c r="C14">
        <f t="shared" si="0"/>
        <v>-11583</v>
      </c>
      <c r="F14" t="s">
        <v>34</v>
      </c>
      <c r="H14" t="str" cm="1">
        <f t="array" ref="H14:Z14">SplitBinary(C14)</f>
        <v>1</v>
      </c>
      <c r="I14" t="str">
        <v>1</v>
      </c>
      <c r="J14" t="str">
        <v>0</v>
      </c>
      <c r="K14" t="str">
        <v>1</v>
      </c>
      <c r="L14" t="str">
        <v>.</v>
      </c>
      <c r="M14" t="str">
        <v>0</v>
      </c>
      <c r="N14" t="str">
        <v>0</v>
      </c>
      <c r="O14" t="str">
        <v>1</v>
      </c>
      <c r="P14" t="str">
        <v>0</v>
      </c>
      <c r="Q14" t="str">
        <v>.</v>
      </c>
      <c r="R14" t="str">
        <v>1</v>
      </c>
      <c r="S14" t="str">
        <v>1</v>
      </c>
      <c r="T14" t="str">
        <v>0</v>
      </c>
      <c r="U14" t="str">
        <v>0</v>
      </c>
      <c r="V14" t="str">
        <v>.</v>
      </c>
      <c r="W14" t="str">
        <v>0</v>
      </c>
      <c r="X14" t="str">
        <v>0</v>
      </c>
      <c r="Y14" t="str">
        <v>0</v>
      </c>
      <c r="Z14" t="str">
        <v>1</v>
      </c>
    </row>
    <row r="15" spans="1:29" x14ac:dyDescent="0.25">
      <c r="A15" t="s">
        <v>13</v>
      </c>
      <c r="B15" s="1" t="s">
        <v>23</v>
      </c>
      <c r="C15">
        <f t="shared" si="0"/>
        <v>-11473</v>
      </c>
      <c r="F15" t="s">
        <v>35</v>
      </c>
      <c r="H15" t="str" cm="1">
        <f t="array" ref="H15:Z15">SplitBinary(C15)</f>
        <v>1</v>
      </c>
      <c r="I15" t="str">
        <v>1</v>
      </c>
      <c r="J15" t="str">
        <v>0</v>
      </c>
      <c r="K15" t="str">
        <v>1</v>
      </c>
      <c r="L15" t="str">
        <v>.</v>
      </c>
      <c r="M15" t="str">
        <v>0</v>
      </c>
      <c r="N15" t="str">
        <v>0</v>
      </c>
      <c r="O15" t="str">
        <v>1</v>
      </c>
      <c r="P15" t="str">
        <v>1</v>
      </c>
      <c r="Q15" t="str">
        <v>.</v>
      </c>
      <c r="R15" t="str">
        <v>0</v>
      </c>
      <c r="S15" t="str">
        <v>0</v>
      </c>
      <c r="T15" t="str">
        <v>1</v>
      </c>
      <c r="U15" t="str">
        <v>0</v>
      </c>
      <c r="V15" t="str">
        <v>.</v>
      </c>
      <c r="W15" t="str">
        <v>1</v>
      </c>
      <c r="X15" t="str">
        <v>1</v>
      </c>
      <c r="Y15" t="str">
        <v>1</v>
      </c>
      <c r="Z15" t="str">
        <v>1</v>
      </c>
    </row>
    <row r="21" spans="6:33" ht="15.75" thickBot="1" x14ac:dyDescent="0.3"/>
    <row r="22" spans="6:33" x14ac:dyDescent="0.25">
      <c r="F22" s="5" t="s">
        <v>36</v>
      </c>
      <c r="G22" s="6"/>
      <c r="H22" s="6" t="str" cm="1">
        <f t="array" ref="H22:Z22">SplitBinary(C4)</f>
        <v>0</v>
      </c>
      <c r="I22" s="6" t="str">
        <v>0</v>
      </c>
      <c r="J22" s="6" t="str">
        <v>1</v>
      </c>
      <c r="K22" s="6" t="str">
        <v>0</v>
      </c>
      <c r="L22" s="6" t="str">
        <v>.</v>
      </c>
      <c r="M22" s="6" t="str">
        <v>1</v>
      </c>
      <c r="N22" s="6" t="str">
        <v>0</v>
      </c>
      <c r="O22" s="6" t="str">
        <v>0</v>
      </c>
      <c r="P22" s="6" t="str">
        <v>0</v>
      </c>
      <c r="Q22" s="6" t="str">
        <v>.</v>
      </c>
      <c r="R22" s="6" t="str">
        <v>0</v>
      </c>
      <c r="S22" s="6" t="str">
        <v>0</v>
      </c>
      <c r="T22" s="6" t="str">
        <v>1</v>
      </c>
      <c r="U22" s="6" t="str">
        <v>1</v>
      </c>
      <c r="V22" s="6" t="str">
        <v>.</v>
      </c>
      <c r="W22" s="6" t="str">
        <v>1</v>
      </c>
      <c r="X22" s="6" t="str">
        <v>0</v>
      </c>
      <c r="Y22" s="6" t="str">
        <v>1</v>
      </c>
      <c r="Z22" s="7" t="str">
        <v>1</v>
      </c>
      <c r="AA22" s="16"/>
      <c r="AB22" s="7"/>
      <c r="AC22" s="5" t="s">
        <v>46</v>
      </c>
      <c r="AD22" s="19">
        <f>C4</f>
        <v>10299</v>
      </c>
      <c r="AE22" s="23" t="s">
        <v>54</v>
      </c>
      <c r="AF22" s="24"/>
      <c r="AG22" s="25"/>
    </row>
    <row r="23" spans="6:33" x14ac:dyDescent="0.25">
      <c r="F23" s="8"/>
      <c r="H23" t="str" cm="1">
        <f t="array" ref="H23:Z23">SplitBinary(C5)</f>
        <v>0</v>
      </c>
      <c r="I23" t="str">
        <v>1</v>
      </c>
      <c r="J23" t="str">
        <v>0</v>
      </c>
      <c r="K23" t="str">
        <v>1</v>
      </c>
      <c r="L23" t="str">
        <v>.</v>
      </c>
      <c r="M23" t="str">
        <v>0</v>
      </c>
      <c r="N23" t="str">
        <v>1</v>
      </c>
      <c r="O23" t="str">
        <v>0</v>
      </c>
      <c r="P23" t="str">
        <v>1</v>
      </c>
      <c r="Q23" t="str">
        <v>.</v>
      </c>
      <c r="R23" t="str">
        <v>0</v>
      </c>
      <c r="S23" t="str">
        <v>1</v>
      </c>
      <c r="T23" t="str">
        <v>1</v>
      </c>
      <c r="U23" t="str">
        <v>1</v>
      </c>
      <c r="V23" t="str">
        <v>.</v>
      </c>
      <c r="W23" t="str">
        <v>1</v>
      </c>
      <c r="X23" t="str">
        <v>0</v>
      </c>
      <c r="Y23" t="str">
        <v>1</v>
      </c>
      <c r="Z23" s="9" t="str">
        <v>0</v>
      </c>
      <c r="AA23" s="8"/>
      <c r="AB23" s="9"/>
      <c r="AC23" s="8"/>
      <c r="AD23" s="9">
        <f>C5</f>
        <v>21882</v>
      </c>
      <c r="AE23" s="26"/>
      <c r="AF23" s="27"/>
      <c r="AG23" s="28"/>
    </row>
    <row r="24" spans="6:33" x14ac:dyDescent="0.25">
      <c r="F24" s="8"/>
      <c r="H24" s="10" t="s">
        <v>37</v>
      </c>
      <c r="I24" s="10" t="s">
        <v>37</v>
      </c>
      <c r="J24" s="10" t="s">
        <v>37</v>
      </c>
      <c r="K24" s="10" t="s">
        <v>37</v>
      </c>
      <c r="L24" s="10" t="s">
        <v>37</v>
      </c>
      <c r="M24" s="10" t="s">
        <v>37</v>
      </c>
      <c r="N24" s="10" t="s">
        <v>37</v>
      </c>
      <c r="O24" s="10" t="s">
        <v>37</v>
      </c>
      <c r="P24" s="10" t="s">
        <v>37</v>
      </c>
      <c r="Q24" s="10" t="s">
        <v>37</v>
      </c>
      <c r="R24" s="10" t="s">
        <v>37</v>
      </c>
      <c r="S24" s="10" t="s">
        <v>37</v>
      </c>
      <c r="T24" s="10" t="s">
        <v>37</v>
      </c>
      <c r="U24" s="10" t="s">
        <v>37</v>
      </c>
      <c r="V24" s="10" t="s">
        <v>37</v>
      </c>
      <c r="W24" s="10" t="s">
        <v>37</v>
      </c>
      <c r="X24" s="10" t="s">
        <v>37</v>
      </c>
      <c r="Y24" s="10" t="s">
        <v>37</v>
      </c>
      <c r="Z24" s="11" t="s">
        <v>37</v>
      </c>
      <c r="AA24" s="8"/>
      <c r="AB24" s="9"/>
      <c r="AC24" s="8"/>
      <c r="AD24" s="11" t="s">
        <v>37</v>
      </c>
      <c r="AE24" s="26"/>
      <c r="AF24" s="27"/>
      <c r="AG24" s="28"/>
    </row>
    <row r="25" spans="6:33" x14ac:dyDescent="0.25">
      <c r="F25" s="8"/>
      <c r="H25" t="str" cm="1">
        <f t="array" ref="H25:AB25">PlusStolbik(C4,C5)</f>
        <v>0</v>
      </c>
      <c r="I25" t="str">
        <v>1</v>
      </c>
      <c r="J25" t="str">
        <v>1</v>
      </c>
      <c r="K25" t="str">
        <v>1</v>
      </c>
      <c r="L25" t="str">
        <v>.</v>
      </c>
      <c r="M25" t="str">
        <v>1</v>
      </c>
      <c r="N25" t="str">
        <v>1</v>
      </c>
      <c r="O25" t="str">
        <v>0</v>
      </c>
      <c r="P25" t="str">
        <v>1</v>
      </c>
      <c r="Q25" t="str">
        <v>.</v>
      </c>
      <c r="R25" t="str">
        <v>1</v>
      </c>
      <c r="S25" t="str">
        <v>0</v>
      </c>
      <c r="T25" t="str">
        <v>1</v>
      </c>
      <c r="U25" t="str">
        <v>1</v>
      </c>
      <c r="V25" t="str">
        <v>.</v>
      </c>
      <c r="W25" t="str">
        <v>0</v>
      </c>
      <c r="X25" t="str">
        <v>1</v>
      </c>
      <c r="Y25" t="str">
        <v>0</v>
      </c>
      <c r="Z25" s="9" t="str">
        <v>1</v>
      </c>
      <c r="AA25" s="8" t="str">
        <v>(2)=</v>
      </c>
      <c r="AB25" s="9" t="str">
        <v>32181(10)</v>
      </c>
      <c r="AC25" s="8"/>
      <c r="AD25" s="17">
        <f>C4+C5</f>
        <v>32181</v>
      </c>
      <c r="AE25" s="26"/>
      <c r="AF25" s="27"/>
      <c r="AG25" s="28"/>
    </row>
    <row r="26" spans="6:33" ht="15.75" thickBot="1" x14ac:dyDescent="0.3">
      <c r="F26" s="12"/>
      <c r="G26" s="13"/>
      <c r="H26" s="13" t="str" cm="1">
        <f t="array" ref="H26:S26">Flags(C4,C5)</f>
        <v>CF=</v>
      </c>
      <c r="I26" s="13">
        <v>0</v>
      </c>
      <c r="J26" s="13" t="str">
        <v>AF=</v>
      </c>
      <c r="K26" s="13">
        <v>1</v>
      </c>
      <c r="L26" s="13" t="str">
        <v>ZF=</v>
      </c>
      <c r="M26" s="13">
        <v>1</v>
      </c>
      <c r="N26" s="13" t="str">
        <v>SF=</v>
      </c>
      <c r="O26" s="13">
        <v>0</v>
      </c>
      <c r="P26" s="13" t="str">
        <v>PF=</v>
      </c>
      <c r="Q26" s="13">
        <v>0</v>
      </c>
      <c r="R26" s="13" t="str">
        <v>OF=</v>
      </c>
      <c r="S26" s="13">
        <v>0</v>
      </c>
      <c r="T26" s="13"/>
      <c r="U26" s="13"/>
      <c r="V26" s="13"/>
      <c r="W26" s="13"/>
      <c r="X26" s="13"/>
      <c r="Y26" s="13"/>
      <c r="Z26" s="14"/>
      <c r="AA26" s="12"/>
      <c r="AB26" s="20"/>
      <c r="AC26" s="12"/>
      <c r="AD26" s="14"/>
      <c r="AE26" s="29"/>
      <c r="AF26" s="30"/>
      <c r="AG26" s="31"/>
    </row>
    <row r="27" spans="6:33" x14ac:dyDescent="0.25">
      <c r="F27" s="5" t="s">
        <v>40</v>
      </c>
      <c r="G27" s="6"/>
      <c r="H27" s="6" t="str" cm="1">
        <f t="array" ref="H27:Z27">SplitBinary(C5)</f>
        <v>0</v>
      </c>
      <c r="I27" s="6" t="str">
        <v>1</v>
      </c>
      <c r="J27" s="6" t="str">
        <v>0</v>
      </c>
      <c r="K27" s="6" t="str">
        <v>1</v>
      </c>
      <c r="L27" s="6" t="str">
        <v>.</v>
      </c>
      <c r="M27" s="6" t="str">
        <v>0</v>
      </c>
      <c r="N27" s="6" t="str">
        <v>1</v>
      </c>
      <c r="O27" s="6" t="str">
        <v>0</v>
      </c>
      <c r="P27" s="6" t="str">
        <v>1</v>
      </c>
      <c r="Q27" s="6" t="str">
        <v>.</v>
      </c>
      <c r="R27" s="6" t="str">
        <v>0</v>
      </c>
      <c r="S27" s="6" t="str">
        <v>1</v>
      </c>
      <c r="T27" s="6" t="str">
        <v>1</v>
      </c>
      <c r="U27" s="6" t="str">
        <v>1</v>
      </c>
      <c r="V27" s="6" t="str">
        <v>.</v>
      </c>
      <c r="W27" s="6" t="str">
        <v>1</v>
      </c>
      <c r="X27" s="6" t="str">
        <v>0</v>
      </c>
      <c r="Y27" s="6" t="str">
        <v>1</v>
      </c>
      <c r="Z27" s="7" t="str">
        <v>0</v>
      </c>
      <c r="AA27" s="5"/>
      <c r="AB27" s="7"/>
      <c r="AC27" s="5" t="s">
        <v>47</v>
      </c>
      <c r="AD27" s="7">
        <f>C5</f>
        <v>21882</v>
      </c>
      <c r="AE27" s="23" t="s">
        <v>55</v>
      </c>
      <c r="AF27" s="24"/>
      <c r="AG27" s="25"/>
    </row>
    <row r="28" spans="6:33" x14ac:dyDescent="0.25">
      <c r="F28" s="8"/>
      <c r="H28" t="str" cm="1">
        <f t="array" ref="H28:Z28">SplitBinary(C6)</f>
        <v>0</v>
      </c>
      <c r="I28" t="str">
        <v>1</v>
      </c>
      <c r="J28" t="str">
        <v>1</v>
      </c>
      <c r="K28" t="str">
        <v>1</v>
      </c>
      <c r="L28" t="str">
        <v>.</v>
      </c>
      <c r="M28" t="str">
        <v>1</v>
      </c>
      <c r="N28" t="str">
        <v>1</v>
      </c>
      <c r="O28" t="str">
        <v>0</v>
      </c>
      <c r="P28" t="str">
        <v>1</v>
      </c>
      <c r="Q28" t="str">
        <v>.</v>
      </c>
      <c r="R28" t="str">
        <v>1</v>
      </c>
      <c r="S28" t="str">
        <v>0</v>
      </c>
      <c r="T28" t="str">
        <v>1</v>
      </c>
      <c r="U28" t="str">
        <v>1</v>
      </c>
      <c r="V28" t="str">
        <v>.</v>
      </c>
      <c r="W28" t="str">
        <v>0</v>
      </c>
      <c r="X28" t="str">
        <v>1</v>
      </c>
      <c r="Y28" t="str">
        <v>0</v>
      </c>
      <c r="Z28" s="9" t="str">
        <v>1</v>
      </c>
      <c r="AA28" s="8"/>
      <c r="AB28" s="9"/>
      <c r="AC28" s="8"/>
      <c r="AD28" s="9">
        <f>C6</f>
        <v>32181</v>
      </c>
      <c r="AE28" s="26"/>
      <c r="AF28" s="27"/>
      <c r="AG28" s="28"/>
    </row>
    <row r="29" spans="6:33" x14ac:dyDescent="0.25">
      <c r="F29" s="8"/>
      <c r="H29" s="10" t="s">
        <v>37</v>
      </c>
      <c r="I29" s="10" t="s">
        <v>37</v>
      </c>
      <c r="J29" s="10" t="s">
        <v>37</v>
      </c>
      <c r="K29" s="10" t="s">
        <v>37</v>
      </c>
      <c r="L29" s="10" t="s">
        <v>37</v>
      </c>
      <c r="M29" s="10" t="s">
        <v>37</v>
      </c>
      <c r="N29" s="10" t="s">
        <v>37</v>
      </c>
      <c r="O29" s="10" t="s">
        <v>37</v>
      </c>
      <c r="P29" s="10" t="s">
        <v>37</v>
      </c>
      <c r="Q29" s="10" t="s">
        <v>37</v>
      </c>
      <c r="R29" s="10" t="s">
        <v>37</v>
      </c>
      <c r="S29" s="10" t="s">
        <v>37</v>
      </c>
      <c r="T29" s="10" t="s">
        <v>37</v>
      </c>
      <c r="U29" s="10" t="s">
        <v>37</v>
      </c>
      <c r="V29" s="10" t="s">
        <v>37</v>
      </c>
      <c r="W29" s="10" t="s">
        <v>37</v>
      </c>
      <c r="X29" s="10" t="s">
        <v>37</v>
      </c>
      <c r="Y29" s="10" t="s">
        <v>37</v>
      </c>
      <c r="Z29" s="11" t="s">
        <v>37</v>
      </c>
      <c r="AA29" s="8"/>
      <c r="AB29" s="9"/>
      <c r="AC29" s="8"/>
      <c r="AD29" s="11" t="s">
        <v>37</v>
      </c>
      <c r="AE29" s="26"/>
      <c r="AF29" s="27"/>
      <c r="AG29" s="28"/>
    </row>
    <row r="30" spans="6:33" x14ac:dyDescent="0.25">
      <c r="F30" s="8"/>
      <c r="H30" t="str" cm="1">
        <f t="array" ref="H30:AB30">PlusStolbik(C5,C6)</f>
        <v>1</v>
      </c>
      <c r="I30" t="str">
        <v>0</v>
      </c>
      <c r="J30" t="str">
        <v>1</v>
      </c>
      <c r="K30" t="str">
        <v>0</v>
      </c>
      <c r="L30" t="str">
        <v>.</v>
      </c>
      <c r="M30" t="str">
        <v>1</v>
      </c>
      <c r="N30" t="str">
        <v>1</v>
      </c>
      <c r="O30" t="str">
        <v>0</v>
      </c>
      <c r="P30" t="str">
        <v>0</v>
      </c>
      <c r="Q30" t="str">
        <v>.</v>
      </c>
      <c r="R30" t="str">
        <v>1</v>
      </c>
      <c r="S30" t="str">
        <v>1</v>
      </c>
      <c r="T30" t="str">
        <v>0</v>
      </c>
      <c r="U30" t="str">
        <v>1</v>
      </c>
      <c r="V30" t="str">
        <v>.</v>
      </c>
      <c r="W30" t="str">
        <v>0</v>
      </c>
      <c r="X30" t="str">
        <v>0</v>
      </c>
      <c r="Y30" t="str">
        <v>0</v>
      </c>
      <c r="Z30" s="9" t="str">
        <v>1</v>
      </c>
      <c r="AA30" s="8" t="str">
        <v>(2)=</v>
      </c>
      <c r="AB30" s="9" t="str">
        <v>-11473(10)</v>
      </c>
      <c r="AC30" s="8"/>
      <c r="AD30" s="9">
        <f>C5+C6</f>
        <v>54063</v>
      </c>
      <c r="AE30" s="26"/>
      <c r="AF30" s="27"/>
      <c r="AG30" s="28"/>
    </row>
    <row r="31" spans="6:33" ht="15.75" thickBot="1" x14ac:dyDescent="0.3">
      <c r="F31" s="12"/>
      <c r="G31" s="13"/>
      <c r="H31" s="13" t="str" cm="1">
        <f t="array" ref="H31:S31">Flags(C5,C6)</f>
        <v>CF=</v>
      </c>
      <c r="I31" s="13">
        <v>0</v>
      </c>
      <c r="J31" s="13" t="str">
        <v>AF=</v>
      </c>
      <c r="K31" s="13">
        <v>0</v>
      </c>
      <c r="L31" s="13" t="str">
        <v>ZF=</v>
      </c>
      <c r="M31" s="13">
        <v>1</v>
      </c>
      <c r="N31" s="13" t="str">
        <v>SF=</v>
      </c>
      <c r="O31" s="13">
        <v>1</v>
      </c>
      <c r="P31" s="13" t="str">
        <v>PF=</v>
      </c>
      <c r="Q31" s="13">
        <v>0</v>
      </c>
      <c r="R31" s="15" t="str">
        <v>OF=</v>
      </c>
      <c r="S31" s="15">
        <v>1</v>
      </c>
      <c r="T31" s="13"/>
      <c r="U31" s="13"/>
      <c r="V31" s="13"/>
      <c r="W31" s="13"/>
      <c r="X31" s="13"/>
      <c r="Y31" s="13"/>
      <c r="Z31" s="14"/>
      <c r="AA31" s="12"/>
      <c r="AB31" s="14"/>
      <c r="AC31" s="12"/>
      <c r="AD31" s="14"/>
      <c r="AE31" s="29"/>
      <c r="AF31" s="30"/>
      <c r="AG31" s="31"/>
    </row>
    <row r="32" spans="6:33" x14ac:dyDescent="0.25">
      <c r="F32" s="5" t="s">
        <v>41</v>
      </c>
      <c r="G32" s="6"/>
      <c r="H32" s="6" t="str" cm="1">
        <f t="array" ref="H32:Z32">SplitBinary(C5)</f>
        <v>0</v>
      </c>
      <c r="I32" s="6" t="str">
        <v>1</v>
      </c>
      <c r="J32" s="6" t="str">
        <v>0</v>
      </c>
      <c r="K32" s="6" t="str">
        <v>1</v>
      </c>
      <c r="L32" s="6" t="str">
        <v>.</v>
      </c>
      <c r="M32" s="6" t="str">
        <v>0</v>
      </c>
      <c r="N32" s="6" t="str">
        <v>1</v>
      </c>
      <c r="O32" s="6" t="str">
        <v>0</v>
      </c>
      <c r="P32" s="6" t="str">
        <v>1</v>
      </c>
      <c r="Q32" s="6" t="str">
        <v>.</v>
      </c>
      <c r="R32" s="6" t="str">
        <v>0</v>
      </c>
      <c r="S32" s="6" t="str">
        <v>1</v>
      </c>
      <c r="T32" s="6" t="str">
        <v>1</v>
      </c>
      <c r="U32" s="6" t="str">
        <v>1</v>
      </c>
      <c r="V32" s="6" t="str">
        <v>.</v>
      </c>
      <c r="W32" s="6" t="str">
        <v>1</v>
      </c>
      <c r="X32" s="6" t="str">
        <v>0</v>
      </c>
      <c r="Y32" s="6" t="str">
        <v>1</v>
      </c>
      <c r="Z32" s="7" t="str">
        <v>0</v>
      </c>
      <c r="AA32" s="5"/>
      <c r="AB32" s="7"/>
      <c r="AC32" s="5" t="s">
        <v>48</v>
      </c>
      <c r="AD32" s="7">
        <f>C5</f>
        <v>21882</v>
      </c>
      <c r="AE32" s="23" t="s">
        <v>56</v>
      </c>
      <c r="AF32" s="24"/>
      <c r="AG32" s="25"/>
    </row>
    <row r="33" spans="6:33" x14ac:dyDescent="0.25">
      <c r="F33" s="8"/>
      <c r="H33" t="str" cm="1">
        <f t="array" ref="H33:Z33">SplitBinary(C10)</f>
        <v>1</v>
      </c>
      <c r="I33" t="str">
        <v>1</v>
      </c>
      <c r="J33" t="str">
        <v>0</v>
      </c>
      <c r="K33" t="str">
        <v>1</v>
      </c>
      <c r="L33" t="str">
        <v>.</v>
      </c>
      <c r="M33" t="str">
        <v>0</v>
      </c>
      <c r="N33" t="str">
        <v>1</v>
      </c>
      <c r="O33" t="str">
        <v>1</v>
      </c>
      <c r="P33" t="str">
        <v>1</v>
      </c>
      <c r="Q33" t="str">
        <v>.</v>
      </c>
      <c r="R33" t="str">
        <v>1</v>
      </c>
      <c r="S33" t="str">
        <v>1</v>
      </c>
      <c r="T33" t="str">
        <v>0</v>
      </c>
      <c r="U33" t="str">
        <v>0</v>
      </c>
      <c r="V33" t="str">
        <v>.</v>
      </c>
      <c r="W33" t="str">
        <v>0</v>
      </c>
      <c r="X33" t="str">
        <v>1</v>
      </c>
      <c r="Y33" t="str">
        <v>0</v>
      </c>
      <c r="Z33" s="9" t="str">
        <v>1</v>
      </c>
      <c r="AA33" s="8"/>
      <c r="AB33" s="9"/>
      <c r="AC33" s="8"/>
      <c r="AD33" s="9">
        <f>C10</f>
        <v>-10299</v>
      </c>
      <c r="AE33" s="26"/>
      <c r="AF33" s="27"/>
      <c r="AG33" s="28"/>
    </row>
    <row r="34" spans="6:33" x14ac:dyDescent="0.25">
      <c r="F34" s="8"/>
      <c r="H34" s="10" t="s">
        <v>37</v>
      </c>
      <c r="I34" s="10" t="s">
        <v>37</v>
      </c>
      <c r="J34" s="10" t="s">
        <v>37</v>
      </c>
      <c r="K34" s="10" t="s">
        <v>37</v>
      </c>
      <c r="L34" s="10" t="s">
        <v>37</v>
      </c>
      <c r="M34" s="10" t="s">
        <v>37</v>
      </c>
      <c r="N34" s="10" t="s">
        <v>37</v>
      </c>
      <c r="O34" s="10" t="s">
        <v>37</v>
      </c>
      <c r="P34" s="10" t="s">
        <v>37</v>
      </c>
      <c r="Q34" s="10" t="s">
        <v>37</v>
      </c>
      <c r="R34" s="10" t="s">
        <v>37</v>
      </c>
      <c r="S34" s="10" t="s">
        <v>37</v>
      </c>
      <c r="T34" s="10" t="s">
        <v>37</v>
      </c>
      <c r="U34" s="10" t="s">
        <v>37</v>
      </c>
      <c r="V34" s="10" t="s">
        <v>37</v>
      </c>
      <c r="W34" s="10" t="s">
        <v>37</v>
      </c>
      <c r="X34" s="10" t="s">
        <v>37</v>
      </c>
      <c r="Y34" s="10" t="s">
        <v>37</v>
      </c>
      <c r="Z34" s="11" t="s">
        <v>37</v>
      </c>
      <c r="AA34" s="8"/>
      <c r="AB34" s="9"/>
      <c r="AC34" s="8"/>
      <c r="AD34" s="11" t="s">
        <v>53</v>
      </c>
      <c r="AE34" s="26"/>
      <c r="AF34" s="27"/>
      <c r="AG34" s="28"/>
    </row>
    <row r="35" spans="6:33" x14ac:dyDescent="0.25">
      <c r="F35" s="8"/>
      <c r="H35" t="str" cm="1">
        <f t="array" ref="H35:AB35">PlusStolbik(C5,C10)</f>
        <v>0</v>
      </c>
      <c r="I35" t="str">
        <v>0</v>
      </c>
      <c r="J35" t="str">
        <v>1</v>
      </c>
      <c r="K35" t="str">
        <v>0</v>
      </c>
      <c r="L35" t="str">
        <v>.</v>
      </c>
      <c r="M35" t="str">
        <v>1</v>
      </c>
      <c r="N35" t="str">
        <v>1</v>
      </c>
      <c r="O35" t="str">
        <v>0</v>
      </c>
      <c r="P35" t="str">
        <v>1</v>
      </c>
      <c r="Q35" t="str">
        <v>.</v>
      </c>
      <c r="R35" t="str">
        <v>0</v>
      </c>
      <c r="S35" t="str">
        <v>0</v>
      </c>
      <c r="T35" t="str">
        <v>1</v>
      </c>
      <c r="U35" t="str">
        <v>1</v>
      </c>
      <c r="V35" t="str">
        <v>.</v>
      </c>
      <c r="W35" t="str">
        <v>1</v>
      </c>
      <c r="X35" t="str">
        <v>1</v>
      </c>
      <c r="Y35" t="str">
        <v>1</v>
      </c>
      <c r="Z35" s="9" t="str">
        <v>1</v>
      </c>
      <c r="AA35" s="8" t="str">
        <v>(2)=</v>
      </c>
      <c r="AB35" s="9" t="str">
        <v>11583(10)</v>
      </c>
      <c r="AC35" s="8"/>
      <c r="AD35" s="9">
        <f>C5+C10</f>
        <v>11583</v>
      </c>
      <c r="AE35" s="26"/>
      <c r="AF35" s="27"/>
      <c r="AG35" s="28"/>
    </row>
    <row r="36" spans="6:33" ht="15.75" thickBot="1" x14ac:dyDescent="0.3">
      <c r="F36" s="12"/>
      <c r="G36" s="13"/>
      <c r="H36" s="13" t="str" cm="1">
        <f t="array" ref="H36:S36">Flags(C5,C10)</f>
        <v>CF=</v>
      </c>
      <c r="I36" s="13">
        <v>1</v>
      </c>
      <c r="J36" s="13" t="str">
        <v>AF=</v>
      </c>
      <c r="K36" s="13">
        <v>0</v>
      </c>
      <c r="L36" s="13" t="str">
        <v>ZF=</v>
      </c>
      <c r="M36" s="13">
        <v>1</v>
      </c>
      <c r="N36" s="13" t="str">
        <v>SF=</v>
      </c>
      <c r="O36" s="13">
        <v>0</v>
      </c>
      <c r="P36" s="13" t="str">
        <v>PF=</v>
      </c>
      <c r="Q36" s="13">
        <v>1</v>
      </c>
      <c r="R36" s="13" t="str">
        <v>OF=</v>
      </c>
      <c r="S36" s="13">
        <v>0</v>
      </c>
      <c r="T36" s="13"/>
      <c r="U36" s="13"/>
      <c r="V36" s="13"/>
      <c r="W36" s="13"/>
      <c r="X36" s="13"/>
      <c r="Y36" s="13"/>
      <c r="Z36" s="14"/>
      <c r="AA36" s="12"/>
      <c r="AB36" s="14"/>
      <c r="AC36" s="12"/>
      <c r="AD36" s="14"/>
      <c r="AE36" s="29"/>
      <c r="AF36" s="30"/>
      <c r="AG36" s="31"/>
    </row>
    <row r="37" spans="6:33" x14ac:dyDescent="0.25">
      <c r="F37" s="5" t="s">
        <v>45</v>
      </c>
      <c r="G37" s="6"/>
      <c r="H37" s="6" t="str" cm="1">
        <f t="array" ref="H37:Z37">SplitBinary(C10)</f>
        <v>1</v>
      </c>
      <c r="I37" s="6" t="str">
        <v>1</v>
      </c>
      <c r="J37" s="6" t="str">
        <v>0</v>
      </c>
      <c r="K37" s="6" t="str">
        <v>1</v>
      </c>
      <c r="L37" s="6" t="str">
        <v>.</v>
      </c>
      <c r="M37" s="6" t="str">
        <v>0</v>
      </c>
      <c r="N37" s="6" t="str">
        <v>1</v>
      </c>
      <c r="O37" s="6" t="str">
        <v>1</v>
      </c>
      <c r="P37" s="6" t="str">
        <v>1</v>
      </c>
      <c r="Q37" s="6" t="str">
        <v>.</v>
      </c>
      <c r="R37" s="6" t="str">
        <v>1</v>
      </c>
      <c r="S37" s="6" t="str">
        <v>1</v>
      </c>
      <c r="T37" s="6" t="str">
        <v>0</v>
      </c>
      <c r="U37" s="6" t="str">
        <v>0</v>
      </c>
      <c r="V37" s="6" t="str">
        <v>.</v>
      </c>
      <c r="W37" s="6" t="str">
        <v>0</v>
      </c>
      <c r="X37" s="6" t="str">
        <v>1</v>
      </c>
      <c r="Y37" s="6" t="str">
        <v>0</v>
      </c>
      <c r="Z37" s="7" t="str">
        <v>1</v>
      </c>
      <c r="AA37" s="5"/>
      <c r="AB37" s="7"/>
      <c r="AC37" s="5" t="s">
        <v>49</v>
      </c>
      <c r="AD37" s="7">
        <f>C10</f>
        <v>-10299</v>
      </c>
      <c r="AE37" s="23" t="s">
        <v>57</v>
      </c>
      <c r="AF37" s="24"/>
      <c r="AG37" s="25"/>
    </row>
    <row r="38" spans="6:33" x14ac:dyDescent="0.25">
      <c r="F38" s="8"/>
      <c r="H38" t="str" cm="1">
        <f t="array" ref="H38:Z38">SplitBinary(C11)</f>
        <v>1</v>
      </c>
      <c r="I38" t="str">
        <v>0</v>
      </c>
      <c r="J38" t="str">
        <v>1</v>
      </c>
      <c r="K38" t="str">
        <v>0</v>
      </c>
      <c r="L38" t="str">
        <v>.</v>
      </c>
      <c r="M38" t="str">
        <v>1</v>
      </c>
      <c r="N38" t="str">
        <v>0</v>
      </c>
      <c r="O38" t="str">
        <v>1</v>
      </c>
      <c r="P38" t="str">
        <v>0</v>
      </c>
      <c r="Q38" t="str">
        <v>.</v>
      </c>
      <c r="R38" t="str">
        <v>1</v>
      </c>
      <c r="S38" t="str">
        <v>0</v>
      </c>
      <c r="T38" t="str">
        <v>0</v>
      </c>
      <c r="U38" t="str">
        <v>0</v>
      </c>
      <c r="V38" t="str">
        <v>.</v>
      </c>
      <c r="W38" t="str">
        <v>0</v>
      </c>
      <c r="X38" t="str">
        <v>1</v>
      </c>
      <c r="Y38" t="str">
        <v>1</v>
      </c>
      <c r="Z38" s="9" t="str">
        <v>0</v>
      </c>
      <c r="AA38" s="8"/>
      <c r="AB38" s="9"/>
      <c r="AC38" s="8"/>
      <c r="AD38" s="9">
        <f>C11</f>
        <v>-21882</v>
      </c>
      <c r="AE38" s="26"/>
      <c r="AF38" s="27"/>
      <c r="AG38" s="28"/>
    </row>
    <row r="39" spans="6:33" x14ac:dyDescent="0.25">
      <c r="F39" s="8"/>
      <c r="H39" s="10" t="s">
        <v>37</v>
      </c>
      <c r="I39" s="10" t="s">
        <v>37</v>
      </c>
      <c r="J39" s="10" t="s">
        <v>37</v>
      </c>
      <c r="K39" s="10" t="s">
        <v>37</v>
      </c>
      <c r="L39" s="10" t="s">
        <v>37</v>
      </c>
      <c r="M39" s="10" t="s">
        <v>37</v>
      </c>
      <c r="N39" s="10" t="s">
        <v>37</v>
      </c>
      <c r="O39" s="10" t="s">
        <v>37</v>
      </c>
      <c r="P39" s="10" t="s">
        <v>37</v>
      </c>
      <c r="Q39" s="10" t="s">
        <v>37</v>
      </c>
      <c r="R39" s="10" t="s">
        <v>37</v>
      </c>
      <c r="S39" s="10" t="s">
        <v>37</v>
      </c>
      <c r="T39" s="10" t="s">
        <v>37</v>
      </c>
      <c r="U39" s="10" t="s">
        <v>37</v>
      </c>
      <c r="V39" s="10" t="s">
        <v>37</v>
      </c>
      <c r="W39" s="10" t="s">
        <v>37</v>
      </c>
      <c r="X39" s="10" t="s">
        <v>37</v>
      </c>
      <c r="Y39" s="10" t="s">
        <v>37</v>
      </c>
      <c r="Z39" s="9"/>
      <c r="AA39" s="8"/>
      <c r="AB39" s="9"/>
      <c r="AC39" s="8"/>
      <c r="AD39" s="11" t="s">
        <v>53</v>
      </c>
      <c r="AE39" s="26"/>
      <c r="AF39" s="27"/>
      <c r="AG39" s="28"/>
    </row>
    <row r="40" spans="6:33" x14ac:dyDescent="0.25">
      <c r="F40" s="8"/>
      <c r="H40" t="str" cm="1">
        <f t="array" ref="H40:AB40">PlusStolbik(C10,C11)</f>
        <v>1</v>
      </c>
      <c r="I40" t="str">
        <v>1</v>
      </c>
      <c r="J40" t="str">
        <v>1</v>
      </c>
      <c r="K40" t="str">
        <v>1</v>
      </c>
      <c r="L40" t="str">
        <v>.</v>
      </c>
      <c r="M40" t="str">
        <v>1</v>
      </c>
      <c r="N40" t="str">
        <v>1</v>
      </c>
      <c r="O40" t="str">
        <v>0</v>
      </c>
      <c r="P40" t="str">
        <v>1</v>
      </c>
      <c r="Q40" t="str">
        <v>.</v>
      </c>
      <c r="R40" t="str">
        <v>1</v>
      </c>
      <c r="S40" t="str">
        <v>0</v>
      </c>
      <c r="T40" t="str">
        <v>1</v>
      </c>
      <c r="U40" t="str">
        <v>1</v>
      </c>
      <c r="V40" t="str">
        <v>.</v>
      </c>
      <c r="W40" t="str">
        <v>0</v>
      </c>
      <c r="X40" t="str">
        <v>1</v>
      </c>
      <c r="Y40" t="str">
        <v>0</v>
      </c>
      <c r="Z40" s="9" t="str">
        <v>1</v>
      </c>
      <c r="AA40" s="8" t="str">
        <v>(2)=</v>
      </c>
      <c r="AB40" s="9" t="str">
        <v>-32181(10)</v>
      </c>
      <c r="AC40" s="8"/>
      <c r="AD40" s="9">
        <f>C10+C11</f>
        <v>-32181</v>
      </c>
      <c r="AE40" s="26"/>
      <c r="AF40" s="27"/>
      <c r="AG40" s="28"/>
    </row>
    <row r="41" spans="6:33" ht="15.75" thickBot="1" x14ac:dyDescent="0.3">
      <c r="F41" s="12"/>
      <c r="G41" s="13"/>
      <c r="H41" s="13" t="str" cm="1">
        <f t="array" ref="H41:S41">Flags(C10,C11)</f>
        <v>CF=</v>
      </c>
      <c r="I41" s="13">
        <v>1</v>
      </c>
      <c r="J41" s="13" t="str">
        <v>AF=</v>
      </c>
      <c r="K41" s="13">
        <v>0</v>
      </c>
      <c r="L41" s="13" t="str">
        <v>ZF=</v>
      </c>
      <c r="M41" s="13">
        <v>1</v>
      </c>
      <c r="N41" s="13" t="str">
        <v>SF=</v>
      </c>
      <c r="O41" s="13">
        <v>1</v>
      </c>
      <c r="P41" s="13" t="str">
        <v>PF=</v>
      </c>
      <c r="Q41" s="13">
        <v>0</v>
      </c>
      <c r="R41" s="13" t="str">
        <v>OF=</v>
      </c>
      <c r="S41" s="13">
        <v>0</v>
      </c>
      <c r="T41" s="13"/>
      <c r="U41" s="13"/>
      <c r="V41" s="13"/>
      <c r="W41" s="13"/>
      <c r="X41" s="13"/>
      <c r="Y41" s="13"/>
      <c r="Z41" s="14"/>
      <c r="AA41" s="12"/>
      <c r="AB41" s="14"/>
      <c r="AC41" s="12"/>
      <c r="AD41" s="14"/>
      <c r="AE41" s="29"/>
      <c r="AF41" s="30"/>
      <c r="AG41" s="31"/>
    </row>
    <row r="42" spans="6:33" x14ac:dyDescent="0.25">
      <c r="F42" s="5" t="s">
        <v>42</v>
      </c>
      <c r="G42" s="6"/>
      <c r="H42" s="6" t="str" cm="1">
        <f t="array" ref="H42:Z42">SplitBinary(C11)</f>
        <v>1</v>
      </c>
      <c r="I42" s="6" t="str">
        <v>0</v>
      </c>
      <c r="J42" s="6" t="str">
        <v>1</v>
      </c>
      <c r="K42" s="6" t="str">
        <v>0</v>
      </c>
      <c r="L42" s="6" t="str">
        <v>.</v>
      </c>
      <c r="M42" s="6" t="str">
        <v>1</v>
      </c>
      <c r="N42" s="6" t="str">
        <v>0</v>
      </c>
      <c r="O42" s="6" t="str">
        <v>1</v>
      </c>
      <c r="P42" s="6" t="str">
        <v>0</v>
      </c>
      <c r="Q42" s="6" t="str">
        <v>.</v>
      </c>
      <c r="R42" s="6" t="str">
        <v>1</v>
      </c>
      <c r="S42" s="6" t="str">
        <v>0</v>
      </c>
      <c r="T42" s="6" t="str">
        <v>0</v>
      </c>
      <c r="U42" s="6" t="str">
        <v>0</v>
      </c>
      <c r="V42" s="6" t="str">
        <v>.</v>
      </c>
      <c r="W42" s="6" t="str">
        <v>0</v>
      </c>
      <c r="X42" s="6" t="str">
        <v>1</v>
      </c>
      <c r="Y42" s="6" t="str">
        <v>1</v>
      </c>
      <c r="Z42" s="7" t="str">
        <v>0</v>
      </c>
      <c r="AA42" s="5"/>
      <c r="AB42" s="7"/>
      <c r="AC42" s="5" t="s">
        <v>50</v>
      </c>
      <c r="AD42" s="7">
        <f>C11</f>
        <v>-21882</v>
      </c>
      <c r="AE42" s="23" t="s">
        <v>58</v>
      </c>
      <c r="AF42" s="24"/>
      <c r="AG42" s="25"/>
    </row>
    <row r="43" spans="6:33" x14ac:dyDescent="0.25">
      <c r="F43" s="8"/>
      <c r="H43" t="str" cm="1">
        <f t="array" ref="H43:Z43">SplitBinary(C12)</f>
        <v>1</v>
      </c>
      <c r="I43" t="str">
        <v>0</v>
      </c>
      <c r="J43" t="str">
        <v>0</v>
      </c>
      <c r="K43" t="str">
        <v>0</v>
      </c>
      <c r="L43" t="str">
        <v>.</v>
      </c>
      <c r="M43" t="str">
        <v>0</v>
      </c>
      <c r="N43" t="str">
        <v>0</v>
      </c>
      <c r="O43" t="str">
        <v>1</v>
      </c>
      <c r="P43" t="str">
        <v>0</v>
      </c>
      <c r="Q43" t="str">
        <v>.</v>
      </c>
      <c r="R43" t="str">
        <v>0</v>
      </c>
      <c r="S43" t="str">
        <v>1</v>
      </c>
      <c r="T43" t="str">
        <v>0</v>
      </c>
      <c r="U43" t="str">
        <v>0</v>
      </c>
      <c r="V43" t="str">
        <v>.</v>
      </c>
      <c r="W43" t="str">
        <v>1</v>
      </c>
      <c r="X43" t="str">
        <v>0</v>
      </c>
      <c r="Y43" t="str">
        <v>1</v>
      </c>
      <c r="Z43" s="9" t="str">
        <v>1</v>
      </c>
      <c r="AA43" s="8"/>
      <c r="AB43" s="9"/>
      <c r="AC43" s="8"/>
      <c r="AD43" s="9">
        <f>C12</f>
        <v>-32181</v>
      </c>
      <c r="AE43" s="26"/>
      <c r="AF43" s="27"/>
      <c r="AG43" s="28"/>
    </row>
    <row r="44" spans="6:33" x14ac:dyDescent="0.25">
      <c r="F44" s="8"/>
      <c r="H44" s="10" t="s">
        <v>37</v>
      </c>
      <c r="I44" s="10" t="s">
        <v>37</v>
      </c>
      <c r="J44" s="10" t="s">
        <v>37</v>
      </c>
      <c r="K44" s="10" t="s">
        <v>37</v>
      </c>
      <c r="L44" s="10" t="s">
        <v>37</v>
      </c>
      <c r="M44" s="10" t="s">
        <v>37</v>
      </c>
      <c r="N44" s="10" t="s">
        <v>37</v>
      </c>
      <c r="O44" s="10" t="s">
        <v>37</v>
      </c>
      <c r="P44" s="10" t="s">
        <v>37</v>
      </c>
      <c r="Q44" s="10" t="s">
        <v>37</v>
      </c>
      <c r="R44" s="10" t="s">
        <v>37</v>
      </c>
      <c r="S44" s="10" t="s">
        <v>37</v>
      </c>
      <c r="T44" s="10" t="s">
        <v>37</v>
      </c>
      <c r="U44" s="10" t="s">
        <v>37</v>
      </c>
      <c r="V44" s="10" t="s">
        <v>37</v>
      </c>
      <c r="W44" s="10" t="s">
        <v>37</v>
      </c>
      <c r="X44" s="10" t="s">
        <v>37</v>
      </c>
      <c r="Y44" s="10" t="s">
        <v>37</v>
      </c>
      <c r="Z44" s="11" t="s">
        <v>37</v>
      </c>
      <c r="AA44" s="18"/>
      <c r="AB44" s="9"/>
      <c r="AC44" s="8"/>
      <c r="AD44" s="11" t="s">
        <v>53</v>
      </c>
      <c r="AE44" s="26"/>
      <c r="AF44" s="27"/>
      <c r="AG44" s="28"/>
    </row>
    <row r="45" spans="6:33" x14ac:dyDescent="0.25">
      <c r="F45" s="8"/>
      <c r="H45" t="str" cm="1">
        <f t="array" ref="H45:AB45">PlusStolbik(C11,C12)</f>
        <v>0</v>
      </c>
      <c r="I45" t="str">
        <v>0</v>
      </c>
      <c r="J45" t="str">
        <v>1</v>
      </c>
      <c r="K45" t="str">
        <v>0</v>
      </c>
      <c r="L45" t="str">
        <v>.</v>
      </c>
      <c r="M45" t="str">
        <v>1</v>
      </c>
      <c r="N45" t="str">
        <v>1</v>
      </c>
      <c r="O45" t="str">
        <v>0</v>
      </c>
      <c r="P45" t="str">
        <v>0</v>
      </c>
      <c r="Q45" t="str">
        <v>.</v>
      </c>
      <c r="R45" t="str">
        <v>1</v>
      </c>
      <c r="S45" t="str">
        <v>1</v>
      </c>
      <c r="T45" t="str">
        <v>0</v>
      </c>
      <c r="U45" t="str">
        <v>1</v>
      </c>
      <c r="V45" t="str">
        <v>.</v>
      </c>
      <c r="W45" t="str">
        <v>0</v>
      </c>
      <c r="X45" t="str">
        <v>0</v>
      </c>
      <c r="Y45" t="str">
        <v>0</v>
      </c>
      <c r="Z45" s="9" t="str">
        <v>1</v>
      </c>
      <c r="AA45" s="8" t="str">
        <v>(2)=</v>
      </c>
      <c r="AB45" s="9" t="str">
        <v>11473(10)</v>
      </c>
      <c r="AC45" s="8"/>
      <c r="AD45" s="9">
        <f>C11+C12</f>
        <v>-54063</v>
      </c>
      <c r="AE45" s="26"/>
      <c r="AF45" s="27"/>
      <c r="AG45" s="28"/>
    </row>
    <row r="46" spans="6:33" ht="15.75" thickBot="1" x14ac:dyDescent="0.3">
      <c r="F46" s="12"/>
      <c r="G46" s="13"/>
      <c r="H46" s="13" t="str" cm="1">
        <f t="array" ref="H46:S46">Flags(C11,C12)</f>
        <v>CF=</v>
      </c>
      <c r="I46" s="13">
        <v>1</v>
      </c>
      <c r="J46" s="13" t="str">
        <v>AF=</v>
      </c>
      <c r="K46" s="13">
        <v>1</v>
      </c>
      <c r="L46" s="13" t="str">
        <v>ZF=</v>
      </c>
      <c r="M46" s="13">
        <v>1</v>
      </c>
      <c r="N46" s="13" t="str">
        <v>SF=</v>
      </c>
      <c r="O46" s="13">
        <v>0</v>
      </c>
      <c r="P46" s="13" t="str">
        <v>PF=</v>
      </c>
      <c r="Q46" s="13">
        <v>0</v>
      </c>
      <c r="R46" s="15" t="str">
        <v>OF=</v>
      </c>
      <c r="S46" s="15">
        <v>1</v>
      </c>
      <c r="T46" s="13"/>
      <c r="U46" s="13"/>
      <c r="V46" s="13"/>
      <c r="W46" s="13"/>
      <c r="X46" s="13"/>
      <c r="Y46" s="13"/>
      <c r="Z46" s="14"/>
      <c r="AA46" s="12"/>
      <c r="AB46" s="14"/>
      <c r="AC46" s="12"/>
      <c r="AD46" s="21"/>
      <c r="AE46" s="29"/>
      <c r="AF46" s="30"/>
      <c r="AG46" s="31"/>
    </row>
    <row r="47" spans="6:33" x14ac:dyDescent="0.25">
      <c r="F47" s="5" t="s">
        <v>43</v>
      </c>
      <c r="G47" s="6"/>
      <c r="H47" s="6" t="str" cm="1">
        <f t="array" ref="H47:Z47">SplitBinary(C4)</f>
        <v>0</v>
      </c>
      <c r="I47" s="6" t="str">
        <v>0</v>
      </c>
      <c r="J47" s="6" t="str">
        <v>1</v>
      </c>
      <c r="K47" s="6" t="str">
        <v>0</v>
      </c>
      <c r="L47" s="6" t="str">
        <v>.</v>
      </c>
      <c r="M47" s="6" t="str">
        <v>1</v>
      </c>
      <c r="N47" s="6" t="str">
        <v>0</v>
      </c>
      <c r="O47" s="6" t="str">
        <v>0</v>
      </c>
      <c r="P47" s="6" t="str">
        <v>0</v>
      </c>
      <c r="Q47" s="6" t="str">
        <v>.</v>
      </c>
      <c r="R47" s="6" t="str">
        <v>0</v>
      </c>
      <c r="S47" s="6" t="str">
        <v>0</v>
      </c>
      <c r="T47" s="6" t="str">
        <v>1</v>
      </c>
      <c r="U47" s="6" t="str">
        <v>1</v>
      </c>
      <c r="V47" s="6" t="str">
        <v>.</v>
      </c>
      <c r="W47" s="6" t="str">
        <v>1</v>
      </c>
      <c r="X47" s="6" t="str">
        <v>0</v>
      </c>
      <c r="Y47" s="6" t="str">
        <v>1</v>
      </c>
      <c r="Z47" s="7" t="str">
        <v>1</v>
      </c>
      <c r="AA47" s="5"/>
      <c r="AB47" s="7"/>
      <c r="AC47" s="5" t="s">
        <v>51</v>
      </c>
      <c r="AD47" s="19">
        <f>C4</f>
        <v>10299</v>
      </c>
      <c r="AE47" s="23" t="s">
        <v>56</v>
      </c>
      <c r="AF47" s="24"/>
      <c r="AG47" s="25"/>
    </row>
    <row r="48" spans="6:33" x14ac:dyDescent="0.25">
      <c r="F48" s="8"/>
      <c r="H48" t="str" cm="1">
        <f t="array" ref="H48:Z48">SplitBinary(C11)</f>
        <v>1</v>
      </c>
      <c r="I48" t="str">
        <v>0</v>
      </c>
      <c r="J48" t="str">
        <v>1</v>
      </c>
      <c r="K48" t="str">
        <v>0</v>
      </c>
      <c r="L48" t="str">
        <v>.</v>
      </c>
      <c r="M48" t="str">
        <v>1</v>
      </c>
      <c r="N48" t="str">
        <v>0</v>
      </c>
      <c r="O48" t="str">
        <v>1</v>
      </c>
      <c r="P48" t="str">
        <v>0</v>
      </c>
      <c r="Q48" t="str">
        <v>.</v>
      </c>
      <c r="R48" t="str">
        <v>1</v>
      </c>
      <c r="S48" t="str">
        <v>0</v>
      </c>
      <c r="T48" t="str">
        <v>0</v>
      </c>
      <c r="U48" t="str">
        <v>0</v>
      </c>
      <c r="V48" t="str">
        <v>.</v>
      </c>
      <c r="W48" t="str">
        <v>0</v>
      </c>
      <c r="X48" t="str">
        <v>1</v>
      </c>
      <c r="Y48" t="str">
        <v>1</v>
      </c>
      <c r="Z48" s="9" t="str">
        <v>0</v>
      </c>
      <c r="AA48" s="8"/>
      <c r="AB48" s="9"/>
      <c r="AC48" s="8"/>
      <c r="AD48" s="9">
        <f>C11</f>
        <v>-21882</v>
      </c>
      <c r="AE48" s="26"/>
      <c r="AF48" s="27"/>
      <c r="AG48" s="28"/>
    </row>
    <row r="49" spans="6:33" x14ac:dyDescent="0.25">
      <c r="F49" s="8"/>
      <c r="H49" s="10" t="s">
        <v>37</v>
      </c>
      <c r="I49" s="10" t="s">
        <v>37</v>
      </c>
      <c r="J49" s="10" t="s">
        <v>37</v>
      </c>
      <c r="K49" s="10" t="s">
        <v>37</v>
      </c>
      <c r="L49" s="10" t="s">
        <v>37</v>
      </c>
      <c r="M49" s="10" t="s">
        <v>37</v>
      </c>
      <c r="N49" s="10" t="s">
        <v>37</v>
      </c>
      <c r="O49" s="10" t="s">
        <v>37</v>
      </c>
      <c r="P49" s="10" t="s">
        <v>37</v>
      </c>
      <c r="Q49" s="10" t="s">
        <v>37</v>
      </c>
      <c r="R49" s="10" t="s">
        <v>37</v>
      </c>
      <c r="S49" s="10" t="s">
        <v>37</v>
      </c>
      <c r="T49" s="10" t="s">
        <v>37</v>
      </c>
      <c r="U49" s="10" t="s">
        <v>37</v>
      </c>
      <c r="V49" s="10" t="s">
        <v>37</v>
      </c>
      <c r="W49" s="10" t="s">
        <v>37</v>
      </c>
      <c r="X49" s="10" t="s">
        <v>37</v>
      </c>
      <c r="Y49" s="10" t="s">
        <v>37</v>
      </c>
      <c r="Z49" s="11" t="s">
        <v>37</v>
      </c>
      <c r="AA49" s="18"/>
      <c r="AB49" s="9"/>
      <c r="AC49" s="8"/>
      <c r="AD49" s="11" t="s">
        <v>53</v>
      </c>
      <c r="AE49" s="26"/>
      <c r="AF49" s="27"/>
      <c r="AG49" s="28"/>
    </row>
    <row r="50" spans="6:33" x14ac:dyDescent="0.25">
      <c r="F50" s="8"/>
      <c r="H50" t="str" cm="1">
        <f t="array" ref="H50:AB50">PlusStolbik(C4,C11)</f>
        <v>1</v>
      </c>
      <c r="I50" t="str">
        <v>0</v>
      </c>
      <c r="J50" t="str">
        <v>1</v>
      </c>
      <c r="K50" t="str">
        <v>0</v>
      </c>
      <c r="L50" t="str">
        <v>.</v>
      </c>
      <c r="M50" t="str">
        <v>1</v>
      </c>
      <c r="N50" t="str">
        <v>1</v>
      </c>
      <c r="O50" t="str">
        <v>0</v>
      </c>
      <c r="P50" t="str">
        <v>1</v>
      </c>
      <c r="Q50" t="str">
        <v>.</v>
      </c>
      <c r="R50" t="str">
        <v>0</v>
      </c>
      <c r="S50" t="str">
        <v>0</v>
      </c>
      <c r="T50" t="str">
        <v>1</v>
      </c>
      <c r="U50" t="str">
        <v>1</v>
      </c>
      <c r="V50" t="str">
        <v>.</v>
      </c>
      <c r="W50" t="str">
        <v>1</v>
      </c>
      <c r="X50" t="str">
        <v>1</v>
      </c>
      <c r="Y50" t="str">
        <v>1</v>
      </c>
      <c r="Z50" s="9" t="str">
        <v>1</v>
      </c>
      <c r="AA50" s="8" t="str">
        <v>(2)=</v>
      </c>
      <c r="AB50" s="9" t="str">
        <v>-11583(10)</v>
      </c>
      <c r="AC50" s="8"/>
      <c r="AD50" s="17">
        <f>AD47+AD48</f>
        <v>-11583</v>
      </c>
      <c r="AE50" s="26"/>
      <c r="AF50" s="27"/>
      <c r="AG50" s="28"/>
    </row>
    <row r="51" spans="6:33" ht="15.75" thickBot="1" x14ac:dyDescent="0.3">
      <c r="F51" s="12"/>
      <c r="G51" s="13"/>
      <c r="H51" s="13" t="str" cm="1">
        <f t="array" ref="H51:S51">Flags(C4,C11)</f>
        <v>CF=</v>
      </c>
      <c r="I51" s="13">
        <v>0</v>
      </c>
      <c r="J51" s="13" t="str">
        <v>AF=</v>
      </c>
      <c r="K51" s="13">
        <v>1</v>
      </c>
      <c r="L51" s="13" t="str">
        <v>ZF=</v>
      </c>
      <c r="M51" s="13">
        <v>1</v>
      </c>
      <c r="N51" s="13" t="str">
        <v>SF=</v>
      </c>
      <c r="O51" s="13">
        <v>1</v>
      </c>
      <c r="P51" s="13" t="str">
        <v>PF=</v>
      </c>
      <c r="Q51" s="13">
        <v>1</v>
      </c>
      <c r="R51" s="13" t="str">
        <v>OF=</v>
      </c>
      <c r="S51" s="13">
        <v>0</v>
      </c>
      <c r="T51" s="13"/>
      <c r="U51" s="13"/>
      <c r="V51" s="13"/>
      <c r="W51" s="13"/>
      <c r="X51" s="13"/>
      <c r="Y51" s="13"/>
      <c r="Z51" s="14"/>
      <c r="AA51" s="12"/>
      <c r="AB51" s="14"/>
      <c r="AC51" s="12"/>
      <c r="AD51" s="14"/>
      <c r="AE51" s="29"/>
      <c r="AF51" s="30"/>
      <c r="AG51" s="31"/>
    </row>
    <row r="52" spans="6:33" x14ac:dyDescent="0.25">
      <c r="F52" s="5" t="s">
        <v>44</v>
      </c>
      <c r="G52" s="6"/>
      <c r="H52" s="6" t="str" cm="1">
        <f t="array" ref="H52:Z52">SplitBinary(C14)</f>
        <v>1</v>
      </c>
      <c r="I52" s="6" t="str">
        <v>1</v>
      </c>
      <c r="J52" s="6" t="str">
        <v>0</v>
      </c>
      <c r="K52" s="6" t="str">
        <v>1</v>
      </c>
      <c r="L52" s="6" t="str">
        <v>.</v>
      </c>
      <c r="M52" s="6" t="str">
        <v>0</v>
      </c>
      <c r="N52" s="6" t="str">
        <v>0</v>
      </c>
      <c r="O52" s="6" t="str">
        <v>1</v>
      </c>
      <c r="P52" s="6" t="str">
        <v>0</v>
      </c>
      <c r="Q52" s="6" t="str">
        <v>.</v>
      </c>
      <c r="R52" s="6" t="str">
        <v>1</v>
      </c>
      <c r="S52" s="6" t="str">
        <v>1</v>
      </c>
      <c r="T52" s="6" t="str">
        <v>0</v>
      </c>
      <c r="U52" s="6" t="str">
        <v>0</v>
      </c>
      <c r="V52" s="6" t="str">
        <v>.</v>
      </c>
      <c r="W52" s="6" t="str">
        <v>0</v>
      </c>
      <c r="X52" s="6" t="str">
        <v>0</v>
      </c>
      <c r="Y52" s="6" t="str">
        <v>0</v>
      </c>
      <c r="Z52" s="7" t="str">
        <v>1</v>
      </c>
      <c r="AA52" s="8"/>
      <c r="AB52" s="9"/>
      <c r="AC52" s="8" t="s">
        <v>52</v>
      </c>
      <c r="AD52" s="9">
        <f>C14</f>
        <v>-11583</v>
      </c>
      <c r="AE52" s="23" t="s">
        <v>56</v>
      </c>
      <c r="AF52" s="24"/>
      <c r="AG52" s="25"/>
    </row>
    <row r="53" spans="6:33" x14ac:dyDescent="0.25">
      <c r="F53" s="8"/>
      <c r="H53" t="str" cm="1">
        <f t="array" ref="H53:Z53">SplitBinary(C6)</f>
        <v>0</v>
      </c>
      <c r="I53" t="str">
        <v>1</v>
      </c>
      <c r="J53" t="str">
        <v>1</v>
      </c>
      <c r="K53" t="str">
        <v>1</v>
      </c>
      <c r="L53" t="str">
        <v>.</v>
      </c>
      <c r="M53" t="str">
        <v>1</v>
      </c>
      <c r="N53" t="str">
        <v>1</v>
      </c>
      <c r="O53" t="str">
        <v>0</v>
      </c>
      <c r="P53" t="str">
        <v>1</v>
      </c>
      <c r="Q53" t="str">
        <v>.</v>
      </c>
      <c r="R53" t="str">
        <v>1</v>
      </c>
      <c r="S53" t="str">
        <v>0</v>
      </c>
      <c r="T53" t="str">
        <v>1</v>
      </c>
      <c r="U53" t="str">
        <v>1</v>
      </c>
      <c r="V53" t="str">
        <v>.</v>
      </c>
      <c r="W53" t="str">
        <v>0</v>
      </c>
      <c r="X53" t="str">
        <v>1</v>
      </c>
      <c r="Y53" t="str">
        <v>0</v>
      </c>
      <c r="Z53" s="9" t="str">
        <v>1</v>
      </c>
      <c r="AA53" s="8"/>
      <c r="AB53" s="9"/>
      <c r="AC53" s="8"/>
      <c r="AD53" s="9">
        <f>C6</f>
        <v>32181</v>
      </c>
      <c r="AE53" s="26"/>
      <c r="AF53" s="27"/>
      <c r="AG53" s="28"/>
    </row>
    <row r="54" spans="6:33" x14ac:dyDescent="0.25">
      <c r="F54" s="8"/>
      <c r="H54" s="10" t="s">
        <v>37</v>
      </c>
      <c r="I54" s="10" t="s">
        <v>37</v>
      </c>
      <c r="J54" s="10" t="s">
        <v>37</v>
      </c>
      <c r="K54" s="10" t="s">
        <v>37</v>
      </c>
      <c r="L54" s="10" t="s">
        <v>37</v>
      </c>
      <c r="M54" s="10" t="s">
        <v>37</v>
      </c>
      <c r="N54" s="10" t="s">
        <v>37</v>
      </c>
      <c r="O54" s="10" t="s">
        <v>37</v>
      </c>
      <c r="P54" s="10" t="s">
        <v>37</v>
      </c>
      <c r="Q54" s="10" t="s">
        <v>37</v>
      </c>
      <c r="R54" s="10" t="s">
        <v>37</v>
      </c>
      <c r="S54" s="10" t="s">
        <v>37</v>
      </c>
      <c r="T54" s="10" t="s">
        <v>37</v>
      </c>
      <c r="U54" s="10" t="s">
        <v>37</v>
      </c>
      <c r="V54" s="10" t="s">
        <v>37</v>
      </c>
      <c r="W54" s="10" t="s">
        <v>37</v>
      </c>
      <c r="X54" s="10" t="s">
        <v>37</v>
      </c>
      <c r="Y54" s="10" t="s">
        <v>37</v>
      </c>
      <c r="Z54" s="11" t="s">
        <v>37</v>
      </c>
      <c r="AA54" s="8"/>
      <c r="AB54" s="9"/>
      <c r="AC54" s="8"/>
      <c r="AD54" s="11" t="s">
        <v>53</v>
      </c>
      <c r="AE54" s="26"/>
      <c r="AF54" s="27"/>
      <c r="AG54" s="28"/>
    </row>
    <row r="55" spans="6:33" x14ac:dyDescent="0.25">
      <c r="F55" s="8"/>
      <c r="H55" t="str" cm="1">
        <f t="array" ref="H55:AB55">PlusStolbik(C14,C6)</f>
        <v>0</v>
      </c>
      <c r="I55" t="str">
        <v>1</v>
      </c>
      <c r="J55" t="str">
        <v>0</v>
      </c>
      <c r="K55" t="str">
        <v>1</v>
      </c>
      <c r="L55" t="str">
        <v>.</v>
      </c>
      <c r="M55" t="str">
        <v>0</v>
      </c>
      <c r="N55" t="str">
        <v>0</v>
      </c>
      <c r="O55" t="str">
        <v>0</v>
      </c>
      <c r="P55" t="str">
        <v>0</v>
      </c>
      <c r="Q55" t="str">
        <v>.</v>
      </c>
      <c r="R55" t="str">
        <v>0</v>
      </c>
      <c r="S55" t="str">
        <v>1</v>
      </c>
      <c r="T55" t="str">
        <v>1</v>
      </c>
      <c r="U55" t="str">
        <v>1</v>
      </c>
      <c r="V55" t="str">
        <v>.</v>
      </c>
      <c r="W55" t="str">
        <v>0</v>
      </c>
      <c r="X55" t="str">
        <v>1</v>
      </c>
      <c r="Y55" t="str">
        <v>1</v>
      </c>
      <c r="Z55" s="9" t="str">
        <v>0</v>
      </c>
      <c r="AA55" s="8" t="str">
        <v>(2)=</v>
      </c>
      <c r="AB55" s="9" t="str">
        <v>20598(10)</v>
      </c>
      <c r="AC55" s="8"/>
      <c r="AD55" s="9">
        <f>AD52+AD53</f>
        <v>20598</v>
      </c>
      <c r="AE55" s="26"/>
      <c r="AF55" s="27"/>
      <c r="AG55" s="28"/>
    </row>
    <row r="56" spans="6:33" ht="15.75" thickBot="1" x14ac:dyDescent="0.3">
      <c r="F56" s="12"/>
      <c r="G56" s="13"/>
      <c r="H56" s="13" t="str" cm="1">
        <f t="array" ref="H56:S56">Flags(C14,C6)</f>
        <v>CF=</v>
      </c>
      <c r="I56" s="13">
        <v>1</v>
      </c>
      <c r="J56" s="13" t="str">
        <v>AF=</v>
      </c>
      <c r="K56" s="13">
        <v>0</v>
      </c>
      <c r="L56" s="13" t="str">
        <v>ZF=</v>
      </c>
      <c r="M56" s="13">
        <v>1</v>
      </c>
      <c r="N56" s="13" t="str">
        <v>SF=</v>
      </c>
      <c r="O56" s="13">
        <v>0</v>
      </c>
      <c r="P56" s="13" t="str">
        <v>PF=</v>
      </c>
      <c r="Q56" s="13">
        <v>0</v>
      </c>
      <c r="R56" s="13" t="str">
        <v>OF=</v>
      </c>
      <c r="S56" s="13">
        <v>0</v>
      </c>
      <c r="T56" s="13"/>
      <c r="U56" s="13"/>
      <c r="V56" s="13"/>
      <c r="W56" s="13"/>
      <c r="X56" s="13"/>
      <c r="Y56" s="13"/>
      <c r="Z56" s="14"/>
      <c r="AA56" s="12"/>
      <c r="AB56" s="14"/>
      <c r="AC56" s="12"/>
      <c r="AD56" s="14"/>
      <c r="AE56" s="29"/>
      <c r="AF56" s="30"/>
      <c r="AG56" s="31"/>
    </row>
  </sheetData>
  <mergeCells count="7">
    <mergeCell ref="AE52:AG56"/>
    <mergeCell ref="AE22:AG26"/>
    <mergeCell ref="AE27:AG31"/>
    <mergeCell ref="AE32:AG36"/>
    <mergeCell ref="AE37:AG41"/>
    <mergeCell ref="AE42:AG46"/>
    <mergeCell ref="AE47:AG51"/>
  </mergeCells>
  <conditionalFormatting sqref="H4:Z7">
    <cfRule type="cellIs" dxfId="1" priority="2" operator="equal">
      <formula>0</formula>
    </cfRule>
    <cfRule type="cellIs" dxfId="0" priority="1" operator="equal">
      <formula>1</formula>
    </cfRule>
  </conditionalFormatting>
  <pageMargins left="0.7" right="0.7" top="0.75" bottom="0.75" header="0.3" footer="0.3"/>
  <pageSetup paperSize="9" orientation="portrait" r:id="rId1"/>
  <headerFooter>
    <oddHeader>&amp;CКалакин Я.Е., 4 вариант, Лаб5</oddHeader>
    <oddFooter>&amp;C24 ‎ноября ‎2024 ‎г., ‏‎2:35:13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Лист3</vt:lpstr>
      <vt:lpstr>Лист2</vt:lpstr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Калакин Ярослав Евгеньевич</cp:lastModifiedBy>
  <dcterms:created xsi:type="dcterms:W3CDTF">2015-06-05T18:19:34Z</dcterms:created>
  <dcterms:modified xsi:type="dcterms:W3CDTF">2024-11-24T17:38:31Z</dcterms:modified>
</cp:coreProperties>
</file>